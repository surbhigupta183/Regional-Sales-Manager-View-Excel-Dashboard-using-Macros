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Surbhi_Data\Project\EXCEL\"/>
    </mc:Choice>
  </mc:AlternateContent>
  <xr:revisionPtr revIDLastSave="0" documentId="13_ncr:1_{A98F4F08-8E87-4AD0-89D3-662F77E749FD}" xr6:coauthVersionLast="47" xr6:coauthVersionMax="47" xr10:uidLastSave="{00000000-0000-0000-0000-000000000000}"/>
  <bookViews>
    <workbookView xWindow="-108" yWindow="-108" windowWidth="23256" windowHeight="12456" xr2:uid="{4845CECB-5A0F-471A-83EC-68F622418EDB}"/>
  </bookViews>
  <sheets>
    <sheet name="Dashboard" sheetId="4" r:id="rId1"/>
    <sheet name="Sheet1" sheetId="5" r:id="rId2"/>
    <sheet name="Sheet2" sheetId="8" r:id="rId3"/>
    <sheet name="raw data" sheetId="1" r:id="rId4"/>
  </sheets>
  <definedNames>
    <definedName name="Slicer_Region1">#N/A</definedName>
  </definedNames>
  <calcPr calcId="191029"/>
  <pivotCaches>
    <pivotCache cacheId="3"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8" l="1"/>
  <c r="O5" i="4"/>
  <c r="D6" i="5"/>
  <c r="C6" i="5"/>
  <c r="K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2" i="1"/>
  <c r="C7" i="5"/>
  <c r="A6" i="5"/>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<sst xmlns="http://schemas.openxmlformats.org/spreadsheetml/2006/main" count="465" uniqueCount="308">
  <si>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</si>
  <si>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</si>
  <si>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</si>
  <si>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</si>
  <si>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</si>
  <si>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</si>
  <si>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</si>
  <si>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</si>
  <si>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</si>
  <si>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</si>
  <si>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</si>
  <si>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</si>
  <si>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</si>
  <si>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</si>
  <si>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</si>
  <si>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</si>
  <si>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</si>
  <si>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</si>
  <si>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</si>
  <si>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</si>
  <si>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</si>
  <si>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</si>
  <si>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</si>
  <si>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</si>
  <si>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</si>
  <si>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</si>
  <si>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</si>
  <si>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</si>
  <si>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</si>
  <si>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</si>
  <si>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</si>
  <si>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</si>
  <si>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</si>
  <si>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</si>
  <si>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</si>
  <si>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</si>
  <si>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</si>
  <si>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</si>
  <si>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</si>
  <si>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</si>
  <si>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</si>
  <si>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</si>
  <si>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</si>
  <si>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</si>
  <si>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</si>
  <si>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</si>
  <si>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</si>
  <si>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</si>
  <si>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</si>
  <si>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</si>
  <si>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</si>
  <si>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</si>
  <si>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</si>
  <si>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</si>
  <si>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</si>
  <si>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</si>
  <si>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</si>
  <si>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</si>
  <si>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</si>
  <si>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</si>
  <si>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</si>
  <si>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</si>
  <si>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</si>
  <si>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</si>
  <si>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</si>
  <si>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</si>
  <si>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</si>
  <si>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</si>
  <si>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</si>
  <si>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</si>
  <si>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</si>
  <si>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</si>
  <si>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</si>
  <si>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</si>
  <si>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</si>
  <si>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</si>
  <si>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</si>
  <si>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</si>
  <si>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</si>
  <si>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</si>
  <si>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</si>
  <si>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</si>
  <si>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</si>
  <si>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</si>
  <si>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</si>
  <si>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</si>
  <si>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</si>
  <si>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</si>
  <si>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</si>
  <si>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</si>
  <si>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</si>
  <si>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</si>
  <si>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</si>
  <si>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</si>
  <si>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</si>
  <si>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</si>
  <si>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</si>
  <si>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</si>
  <si>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</si>
  <si>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</si>
  <si>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</si>
  <si>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</si>
  <si>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</si>
  <si>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</si>
  <si>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</si>
  <si>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</si>
  <si>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</si>
  <si>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</si>
  <si>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</si>
  <si>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</si>
  <si>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</si>
  <si>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</si>
  <si>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</si>
  <si>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</si>
  <si>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</si>
  <si>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</si>
  <si>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</si>
  <si>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</si>
  <si>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</si>
  <si>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</si>
  <si>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</si>
  <si>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</si>
  <si>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</si>
  <si>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</si>
  <si>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</si>
  <si>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</si>
  <si>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</si>
  <si>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</si>
  <si>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</si>
  <si>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</si>
  <si>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</si>
  <si>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</si>
  <si>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</si>
  <si>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</si>
  <si>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</si>
  <si>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</si>
  <si>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</si>
  <si>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</si>
  <si>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</si>
  <si>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</si>
  <si>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</si>
  <si>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</si>
  <si>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</si>
  <si>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</si>
  <si>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</si>
  <si>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</si>
  <si>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</si>
  <si>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</si>
  <si>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</si>
  <si>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</si>
  <si>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</si>
  <si>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</si>
  <si>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</si>
  <si>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</si>
  <si>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</si>
  <si>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</si>
  <si>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</si>
  <si>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</si>
  <si>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</si>
  <si>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</si>
  <si>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</si>
  <si>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</si>
  <si>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</si>
  <si>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</si>
  <si>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</si>
  <si>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</si>
  <si>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</si>
  <si>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</si>
  <si>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</si>
  <si>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</si>
  <si>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</si>
  <si>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</si>
  <si>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</si>
  <si>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</si>
  <si>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</si>
  <si>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</si>
  <si>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</si>
  <si>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</si>
  <si>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</si>
  <si>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</si>
  <si>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</si>
  <si>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</si>
  <si>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</si>
  <si>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</si>
  <si>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</si>
  <si>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</si>
  <si>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</si>
  <si>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</si>
  <si>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</si>
  <si>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</si>
  <si>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</si>
  <si>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</si>
  <si>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</si>
  <si>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</si>
  <si>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</si>
  <si>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</si>
  <si>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</si>
  <si>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</si>
  <si>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</si>
  <si>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</si>
  <si>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</si>
  <si>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</si>
  <si>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</si>
  <si>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</si>
  <si>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</si>
  <si>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</si>
  <si>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</si>
  <si>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</si>
  <si>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</si>
  <si>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</si>
  <si>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</si>
  <si>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</si>
  <si>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</si>
  <si>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</si>
  <si>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</si>
  <si>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</si>
  <si>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</si>
  <si>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</si>
  <si>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</si>
  <si>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</si>
  <si>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</si>
  <si>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</si>
  <si>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</si>
  <si>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</si>
  <si>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</si>
  <si>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</si>
  <si>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</si>
  <si>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</si>
  <si>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</si>
  <si>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</si>
  <si>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</si>
  <si>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</si>
  <si>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</si>
  <si>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</si>
  <si>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</si>
  <si>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</si>
  <si>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</si>
  <si>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</si>
  <si>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</si>
  <si>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</si>
  <si>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</si>
  <si>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</si>
  <si>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</si>
  <si>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</si>
  <si>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</si>
  <si>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</si>
  <si>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</si>
  <si>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</si>
  <si>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</si>
  <si>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</si>
  <si>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</si>
  <si>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</si>
  <si>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</si>
  <si>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</si>
  <si>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</si>
  <si>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</si>
  <si>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</si>
  <si>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</si>
  <si>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</si>
  <si>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</si>
  <si>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</si>
  <si>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</si>
  <si>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</si>
  <si>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</si>
  <si>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</si>
  <si>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</si>
  <si>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</si>
  <si>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</si>
  <si>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</si>
  <si>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</si>
  <si>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</si>
  <si>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</si>
  <si>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</si>
  <si>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</si>
  <si>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</si>
  <si>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</si>
  <si>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</si>
  <si>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</si>
  <si>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</si>
  <si>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</si>
  <si>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</si>
  <si>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</si>
  <si>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</si>
  <si>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</si>
  <si>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</si>
  <si>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</si>
  <si>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</si>
  <si>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</si>
  <si>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</si>
  <si>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</si>
  <si>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</si>
  <si>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</si>
  <si>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</si>
  <si>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</si>
  <si>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</si>
  <si>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</si>
  <si>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</si>
  <si>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</si>
  <si>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</si>
  <si>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</si>
  <si>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</si>
  <si>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</si>
  <si>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</si>
  <si>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 xml:space="preserve">Total Sales </t>
  </si>
  <si>
    <t xml:space="preserve">Total Sales   </t>
  </si>
  <si>
    <t xml:space="preserve"> Away From Target %</t>
  </si>
  <si>
    <t>Sum of Total Sales</t>
  </si>
  <si>
    <t>Count of 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</si>
</sst>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6" formatCode="&quot;$&quot;#,##0.00"/>
    <numFmt numFmtId="167" formatCode="[$INR]\ #,##0.00"/>
    <numFmt numFmtId="168" formatCode="_([$INR]\ * #,##0.00_);_([$INR]\ * \(#,##0.00\);_([$INR]\ * &quot;-&quot;??_);_(@_)"/>
    <numFmt numFmtId="169" formatCode="0.000"/>
  </numFmts>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4"/>
      <color theme="1"/>
      <name val="Calibri"/>
      <family val="2"/>
      <scheme val="minor"/>
    </font>
    <font>
      <sz val="8"/>
      <color rgb="FF000000"/>
      <name val="Segoe UI"/>
      <family val="2"/>
    </font>
    <font>
      <sz val="11"/>
      <color them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0" xfId="0" pivotButton="1" applyFont="1"/>
    <xf numFmtId="0" fontId="5" fillId="0" borderId="0" xfId="0" applyFont="1" applyAlignment="1">
      <alignment horizontal="left"/>
    </xf>
    <xf numFmtId="10" fontId="5" fillId="0" borderId="0" xfId="0" applyNumberFormat="1" applyFont="1"/>
    <xf numFmtId="0" fontId="0" fillId="4" borderId="0" xfId="0" applyFill="1"/>
    <xf numFmtId="0" fontId="5" fillId="4" borderId="0" xfId="0" applyFont="1" applyFill="1"/>
    <xf numFmtId="0" fontId="0" fillId="4" borderId="0" xfId="0" applyFill="1" applyAlignment="1">
      <alignment horizontal="left"/>
    </xf>
    <xf numFmtId="0" fontId="7" fillId="4" borderId="0" xfId="0" applyFont="1" applyFill="1"/>
    <xf numFmtId="0" fontId="5" fillId="0" borderId="0" xfId="0" applyNumberFormat="1" applyFont="1"/>
    <xf numFmtId="0" fontId="5" fillId="0" borderId="0" xfId="0" applyFont="1" applyAlignment="1">
      <alignment horizontal="right" vertical="center"/>
    </xf>
    <xf numFmtId="0" fontId="5" fillId="0" borderId="0" xfId="0" applyFont="1" applyAlignment="1">
      <alignment horizontal="center" vertical="center"/>
    </xf>
    <xf numFmtId="0" fontId="5" fillId="0" borderId="0" xfId="0" applyFont="1" applyAlignment="1">
      <alignment horizontal="center"/>
    </xf>
    <xf numFmtId="166" fontId="0" fillId="0" borderId="0" xfId="0" applyNumberFormat="1"/>
    <xf numFmtId="167" fontId="0" fillId="0" borderId="0" xfId="0" applyNumberFormat="1"/>
    <xf numFmtId="168" fontId="0" fillId="4" borderId="0" xfId="0" applyNumberFormat="1" applyFill="1"/>
    <xf numFmtId="166" fontId="0" fillId="4" borderId="0" xfId="0" applyNumberFormat="1" applyFill="1"/>
    <xf numFmtId="169" fontId="0" fillId="4" borderId="0" xfId="0" applyNumberFormat="1" applyFill="1"/>
    <xf numFmtId="1" fontId="0" fillId="0" borderId="0" xfId="0" applyNumberFormat="1"/>
  </cellXfs>
  <cellStyles count="2">
    <cellStyle name="Normal" xfId="0" builtinId="0"/>
    <cellStyle name="Percent" xfId="1" builtinId="5"/>
  </cellStyles>
  <dxfs count="31">
    <dxf>
      <font>
        <sz val="14"/>
      </font>
    </dxf>
    <dxf>
      <font>
        <sz val="14"/>
      </font>
    </dxf>
    <dxf>
      <font>
        <sz val="14"/>
      </font>
    </dxf>
    <dxf>
      <font>
        <sz val="14"/>
      </font>
    </dxf>
    <dxf>
      <font>
        <sz val="14"/>
      </font>
    </dxf>
    <dxf>
      <alignment vertical="center"/>
    </dxf>
    <dxf>
      <alignment horizontal="right"/>
    </dxf>
    <dxf>
      <font>
        <sz val="14"/>
      </font>
    </dxf>
    <dxf>
      <font>
        <sz val="14"/>
      </font>
    </dxf>
    <dxf>
      <font>
        <sz val="14"/>
      </font>
    </dxf>
    <dxf>
      <font>
        <sz val="14"/>
      </font>
    </dxf>
    <dxf>
      <font>
        <sz val="14"/>
      </font>
    </dxf>
    <dxf>
      <alignment vertical="center"/>
    </dxf>
    <dxf>
      <alignment horizontal="center"/>
    </dxf>
    <dxf>
      <numFmt numFmtId="1" formatCode="0"/>
    </dxf>
    <dxf>
      <numFmt numFmtId="167" formatCode="[$INR]\ #,##0.00"/>
    </dxf>
    <dxf>
      <alignment horizontal="center"/>
    </dxf>
    <dxf>
      <alignment vertical="center"/>
    </dxf>
    <dxf>
      <alignment horizontal="righ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bgColor theme="8" tint="-0.24994659260841701"/>
        </patternFill>
      </fill>
    </dxf>
    <dxf>
      <fill>
        <patternFill>
          <bgColor theme="9" tint="0.39994506668294322"/>
        </patternFill>
      </fill>
    </dxf>
  </dxfs>
  <tableStyles count="2" defaultTableStyle="TableStyleMedium2" defaultPivotStyle="PivotStyleLight16">
    <tableStyle name="PivotTable Style 1" table="0" count="1" xr9:uid="{71EA8A80-B37E-48C1-B147-7E9CED8A949F}">
      <tableStyleElement type="wholeTable" dxfId="30"/>
    </tableStyle>
    <tableStyle name="Slicer Style 1" pivot="0" table="0" count="7" xr9:uid="{89B81C40-0FC8-4ACF-957F-A9B6E9A7F919}">
      <tableStyleElement type="wholeTable" dxfId="29"/>
    </tableStyle>
  </tableStyles>
  <extLst>
    <ext xmlns:x14="http://schemas.microsoft.com/office/spreadsheetml/2009/9/main" uri="{46F421CA-312F-682f-3DD2-61675219B42D}">
      <x14:dxfs count="6">
        <dxf>
          <fill>
            <patternFill>
              <bgColor theme="6" tint="0.59996337778862885"/>
            </patternFill>
          </fill>
        </dxf>
        <dxf>
          <fill>
            <patternFill>
              <bgColor theme="9" tint="0.39994506668294322"/>
            </patternFill>
          </fill>
        </dxf>
        <dxf>
          <fill>
            <patternFill>
              <bgColor rgb="FF92D050"/>
            </patternFill>
          </fill>
        </dxf>
        <dxf>
          <fill>
            <patternFill>
              <bgColor theme="7" tint="0.39994506668294322"/>
            </patternFill>
          </fill>
        </dxf>
        <dxf>
          <fill>
            <patternFill>
              <bgColor rgb="FFFFC000"/>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[Learn_excel_make_project.xlsm]Dashboard!PivotTable22</c:name>
    <c:fmtId val="0"/>
  </c:pivotSource>
  <c:chart>
    <c:autoTitleDeleted val="1"/>
    <c:pivotFmts>
      <c:pivotFmt>
        <c:idx val="0"/>
        <c:marker>
          <c:symbol val="none"/>
        </c:marker>
        <c:dLbl>
          <c:idx val="0"/>
          <c:spPr>
            <a:noFill/>
            <a:ln>
              <a:noFill/>
            </a:ln>
            <a:effectLst/>
          </c:spPr>
          <c:txPr>
            <a:bodyPr rot="0" vert="horz"/>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3"/>
          </a:solidFill>
          <a:ln>
            <a:noFill/>
          </a:ln>
          <a:effectLst>
            <a:outerShdw blurRad="63500" sx="102000" sy="102000" algn="ctr" rotWithShape="0">
              <a:prstClr val="black">
                <a:alpha val="20000"/>
              </a:prstClr>
            </a:outerShdw>
          </a:effectLst>
        </c:spPr>
      </c:pivotFmt>
      <c:pivotFmt>
        <c:idx val="4"/>
        <c:spPr>
          <a:solidFill>
            <a:schemeClr val="accent4"/>
          </a:solidFill>
          <a:ln>
            <a:noFill/>
          </a:ln>
          <a:effectLst>
            <a:outerShdw blurRad="63500" sx="102000" sy="102000" algn="ctr" rotWithShape="0">
              <a:prstClr val="black">
                <a:alpha val="20000"/>
              </a:prstClr>
            </a:outerShdw>
          </a:effectLst>
        </c:spPr>
      </c:pivotFmt>
      <c:pivotFmt>
        <c:idx val="5"/>
        <c:spPr>
          <a:solidFill>
            <a:schemeClr val="accent5"/>
          </a:solidFill>
          <a:ln>
            <a:noFill/>
          </a:ln>
          <a:effectLst>
            <a:outerShdw blurRad="63500" sx="102000" sy="102000" algn="ctr" rotWithShape="0">
              <a:prstClr val="black">
                <a:alpha val="20000"/>
              </a:prstClr>
            </a:outerShdw>
          </a:effectLst>
        </c:spP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s>
    <c:plotArea>
      <c:layout/>
      <c:pieChart>
        <c:varyColors val="1"/>
        <c:ser>
          <c:idx val="0"/>
          <c:order val="0"/>
          <c:tx>
            <c:strRef>
              <c:f>Dashboard!$H$3</c:f>
              <c:strCache>
                <c:ptCount val="1"/>
                <c:pt idx="0">
                  <c:v>Total</c:v>
                </c:pt>
              </c:strCache>
            </c:strRef>
          </c:tx>
          <c:dPt>
            <c:idx val="0"/>
            <c:bubble3D val="0"/>
            <c:extLst>
              <c:ext xmlns:c16="http://schemas.microsoft.com/office/drawing/2014/chart" uri="{C3380CC4-5D6E-409C-BE32-E72D297353CC}">
                <c16:uniqueId val="{00000002-646A-4D6D-9105-0044E74B614F}"/>
              </c:ext>
            </c:extLst>
          </c:dPt>
          <c:dPt>
            <c:idx val="1"/>
            <c:bubble3D val="0"/>
            <c:extLst>
              <c:ext xmlns:c16="http://schemas.microsoft.com/office/drawing/2014/chart" uri="{C3380CC4-5D6E-409C-BE32-E72D297353CC}">
                <c16:uniqueId val="{00000003-646A-4D6D-9105-0044E74B614F}"/>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646A-4D6D-9105-0044E74B614F}"/>
              </c:ext>
            </c:extLst>
          </c:dPt>
          <c:dPt>
            <c:idx val="3"/>
            <c:bubble3D val="0"/>
            <c:extLst>
              <c:ext xmlns:c16="http://schemas.microsoft.com/office/drawing/2014/chart" uri="{C3380CC4-5D6E-409C-BE32-E72D297353CC}">
                <c16:uniqueId val="{00000005-646A-4D6D-9105-0044E74B614F}"/>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646A-4D6D-9105-0044E74B614F}"/>
              </c:ext>
            </c:extLst>
          </c:dPt>
          <c:dLbls>
            <c:spPr>
              <a:noFill/>
              <a:ln>
                <a:noFill/>
              </a:ln>
              <a:effectLst/>
            </c:spPr>
            <c:txPr>
              <a:bodyPr rot="0" vert="horz"/>
              <a:lstStyle/>
              <a:p>
                <a:pPr>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646A-4D6D-9105-0044E74B614F}"/>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[Learn_excel_make_project.xlsm]Dashboard!PivotTable21</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657393781472287E-2"/>
          <c:y val="0"/>
          <c:w val="0.92110923688292823"/>
          <c:h val="0.8573158487054867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9E77-4D1A-B9BA-194E3AE40BD9}"/>
            </c:ext>
          </c:extLst>
        </c:ser>
        <c:dLbls>
          <c:dLblPos val="t"/>
          <c:showLegendKey val="0"/>
          <c:showVal val="1"/>
          <c:showCatName val="0"/>
          <c:showSerName val="0"/>
          <c:showPercent val="0"/>
          <c:showBubbleSize val="0"/>
        </c:dLbls>
        <c:smooth val="0"/>
        <c:axId val="883557088"/>
        <c:axId val="883550848"/>
      </c:lineChart>
      <c:catAx>
        <c:axId val="883557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83550848"/>
        <c:crosses val="autoZero"/>
        <c:auto val="1"/>
        <c:lblAlgn val="ctr"/>
        <c:lblOffset val="100"/>
        <c:noMultiLvlLbl val="0"/>
      </c:catAx>
      <c:valAx>
        <c:axId val="883550848"/>
        <c:scaling>
          <c:orientation val="minMax"/>
        </c:scaling>
        <c:delete val="1"/>
        <c:axPos val="l"/>
        <c:numFmt formatCode="0.00%" sourceLinked="1"/>
        <c:majorTickMark val="out"/>
        <c:minorTickMark val="none"/>
        <c:tickLblPos val="nextTo"/>
        <c:crossAx val="88355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[Learn_excel_make_project.xlsm]Dashboard!PivotTable20</c:name>
    <c:fmtId val="3"/>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121-403A-A10C-D12F1C81A102}"/>
            </c:ext>
          </c:extLst>
        </c:ser>
        <c:dLbls>
          <c:dLblPos val="outEnd"/>
          <c:showLegendKey val="0"/>
          <c:showVal val="1"/>
          <c:showCatName val="0"/>
          <c:showSerName val="0"/>
          <c:showPercent val="0"/>
          <c:showBubbleSize val="0"/>
        </c:dLbls>
        <c:gapWidth val="182"/>
        <c:axId val="1130536048"/>
        <c:axId val="1130531248"/>
      </c:barChart>
      <c:catAx>
        <c:axId val="113053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30531248"/>
        <c:crosses val="autoZero"/>
        <c:auto val="1"/>
        <c:lblAlgn val="ctr"/>
        <c:lblOffset val="100"/>
        <c:noMultiLvlLbl val="0"/>
      </c:catAx>
      <c:valAx>
        <c:axId val="1130531248"/>
        <c:scaling>
          <c:orientation val="minMax"/>
        </c:scaling>
        <c:delete val="1"/>
        <c:axPos val="b"/>
        <c:numFmt formatCode="General" sourceLinked="1"/>
        <c:majorTickMark val="none"/>
        <c:minorTickMark val="none"/>
        <c:tickLblPos val="nextTo"/>
        <c:crossAx val="113053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1498600</xdr:colOff>
      <xdr:row>8</xdr:row>
      <xdr:rowOff>177798</xdr:rowOff>
    </xdr:from>
    <xdr:to>
      <xdr:col>8</xdr:col>
      <xdr:colOff>93134</xdr:colOff>
      <xdr:row>35</xdr:row>
      <xdr:rowOff>76200</xdr:rowOff>
    </xdr:to>
    <xdr:graphicFrame macro="">
      <xdr:nvGraphicFramePr>
        <xdr:cNvPr id="3" name="Chart 2">
          <a:extLst>
            <a:ext uri="{FF2B5EF4-FFF2-40B4-BE49-F238E27FC236}">
              <a16:creationId xmlns:a16="http://schemas.microsoft.com/office/drawing/2014/main" id="{BA706411-0593-82C3-F089-A580294D7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140546</xdr:colOff>
      <xdr:row>9</xdr:row>
      <xdr:rowOff>8467</xdr:rowOff>
    </xdr:from>
    <xdr:to>
      <xdr:col>10</xdr:col>
      <xdr:colOff>2158999</xdr:colOff>
      <xdr:row>35</xdr:row>
      <xdr:rowOff>59265</xdr:rowOff>
    </xdr:to>
    <xdr:graphicFrame macro="">
      <xdr:nvGraphicFramePr>
        <xdr:cNvPr id="4" name="Chart 3">
          <a:extLst>
            <a:ext uri="{FF2B5EF4-FFF2-40B4-BE49-F238E27FC236}">
              <a16:creationId xmlns:a16="http://schemas.microsoft.com/office/drawing/2014/main" id="{F1BC25F5-27AB-8936-C65A-C6F28DC4E1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25399</xdr:colOff>
      <xdr:row>8</xdr:row>
      <xdr:rowOff>169334</xdr:rowOff>
    </xdr:from>
    <xdr:to>
      <xdr:col>4</xdr:col>
      <xdr:colOff>1447801</xdr:colOff>
      <xdr:row>35</xdr:row>
      <xdr:rowOff>50800</xdr:rowOff>
    </xdr:to>
    <xdr:graphicFrame macro="">
      <xdr:nvGraphicFramePr>
        <xdr:cNvPr id="7" name="Chart 6">
          <a:extLst>
            <a:ext uri="{FF2B5EF4-FFF2-40B4-BE49-F238E27FC236}">
              <a16:creationId xmlns:a16="http://schemas.microsoft.com/office/drawing/2014/main" id="{EBD888B5-AA8C-CE90-6710-4A5B6C792F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320040</xdr:colOff>
      <xdr:row>0</xdr:row>
      <xdr:rowOff>753533</xdr:rowOff>
    </xdr:from>
    <xdr:to>
      <xdr:col>1</xdr:col>
      <xdr:colOff>266700</xdr:colOff>
      <xdr:row>1</xdr:row>
      <xdr:rowOff>431800</xdr:rowOff>
    </xdr:to>
    <xdr:sp macro="" textlink="">
      <xdr:nvSpPr>
        <xdr:cNvPr id="14" name="Speech Bubble: Rectangle with Corners Rounded 13">
          <a:extLst>
            <a:ext uri="{FF2B5EF4-FFF2-40B4-BE49-F238E27FC236}">
              <a16:creationId xmlns:a16="http://schemas.microsoft.com/office/drawing/2014/main" id="{CA4AE682-2099-5F41-C8BC-5E5BE2FB601A}"/>
            </a:ext>
          </a:extLst>
        </xdr:cNvPr>
        <xdr:cNvSpPr/>
      </xdr:nvSpPr>
      <xdr:spPr>
        <a:xfrm>
          <a:off x="320040" y="753533"/>
          <a:ext cx="1656927" cy="491067"/>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469054</xdr:colOff>
          <xdr:row>0</xdr:row>
          <xdr:rowOff>787400</xdr:rowOff>
        </xdr:from>
        <xdr:to>
          <xdr:col>1</xdr:col>
          <xdr:colOff>228600</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190499</xdr:colOff>
      <xdr:row>0</xdr:row>
      <xdr:rowOff>753533</xdr:rowOff>
    </xdr:from>
    <xdr:to>
      <xdr:col>3</xdr:col>
      <xdr:colOff>1845563</xdr:colOff>
      <xdr:row>1</xdr:row>
      <xdr:rowOff>431800</xdr:rowOff>
    </xdr:to>
    <xdr:sp macro="" textlink="">
      <xdr:nvSpPr>
        <xdr:cNvPr id="16" name="Speech Bubble: Rectangle with Corners Rounded 15">
          <a:extLst>
            <a:ext uri="{FF2B5EF4-FFF2-40B4-BE49-F238E27FC236}">
              <a16:creationId xmlns:a16="http://schemas.microsoft.com/office/drawing/2014/main" id="{8EBADFEA-9E9C-57F1-9095-4A9777D5634B}"/>
            </a:ext>
          </a:extLst>
        </xdr:cNvPr>
        <xdr:cNvSpPr/>
      </xdr:nvSpPr>
      <xdr:spPr>
        <a:xfrm>
          <a:off x="3746499" y="753533"/>
          <a:ext cx="1655064" cy="491067"/>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326813</xdr:colOff>
          <xdr:row>0</xdr:row>
          <xdr:rowOff>778934</xdr:rowOff>
        </xdr:from>
        <xdr:to>
          <xdr:col>3</xdr:col>
          <xdr:colOff>1837266</xdr:colOff>
          <xdr:row>1</xdr:row>
          <xdr:rowOff>389467</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529166</xdr:colOff>
      <xdr:row>0</xdr:row>
      <xdr:rowOff>740834</xdr:rowOff>
    </xdr:from>
    <xdr:to>
      <xdr:col>6</xdr:col>
      <xdr:colOff>2184230</xdr:colOff>
      <xdr:row>1</xdr:row>
      <xdr:rowOff>421810</xdr:rowOff>
    </xdr:to>
    <xdr:sp macro="" textlink="">
      <xdr:nvSpPr>
        <xdr:cNvPr id="17" name="Speech Bubble: Rectangle with Corners Rounded 16">
          <a:extLst>
            <a:ext uri="{FF2B5EF4-FFF2-40B4-BE49-F238E27FC236}">
              <a16:creationId xmlns:a16="http://schemas.microsoft.com/office/drawing/2014/main" id="{AFB9A981-9135-4A5F-964F-CCBC1A2AF517}"/>
            </a:ext>
          </a:extLst>
        </xdr:cNvPr>
        <xdr:cNvSpPr/>
      </xdr:nvSpPr>
      <xdr:spPr>
        <a:xfrm>
          <a:off x="8445499" y="740834"/>
          <a:ext cx="1655064" cy="49377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707814</xdr:colOff>
          <xdr:row>0</xdr:row>
          <xdr:rowOff>787400</xdr:rowOff>
        </xdr:from>
        <xdr:to>
          <xdr:col>7</xdr:col>
          <xdr:colOff>59266</xdr:colOff>
          <xdr:row>1</xdr:row>
          <xdr:rowOff>342053</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574887</xdr:colOff>
      <xdr:row>0</xdr:row>
      <xdr:rowOff>766234</xdr:rowOff>
    </xdr:from>
    <xdr:to>
      <xdr:col>10</xdr:col>
      <xdr:colOff>646685</xdr:colOff>
      <xdr:row>1</xdr:row>
      <xdr:rowOff>447210</xdr:rowOff>
    </xdr:to>
    <xdr:sp macro="" textlink="">
      <xdr:nvSpPr>
        <xdr:cNvPr id="18" name="Speech Bubble: Rectangle with Corners Rounded 17">
          <a:extLst>
            <a:ext uri="{FF2B5EF4-FFF2-40B4-BE49-F238E27FC236}">
              <a16:creationId xmlns:a16="http://schemas.microsoft.com/office/drawing/2014/main" id="{228ACC6E-7F33-9AA3-6C06-E482C7F4D7E4}"/>
            </a:ext>
          </a:extLst>
        </xdr:cNvPr>
        <xdr:cNvSpPr/>
      </xdr:nvSpPr>
      <xdr:spPr>
        <a:xfrm>
          <a:off x="12597554" y="766234"/>
          <a:ext cx="1655064" cy="49377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800100</xdr:colOff>
          <xdr:row>1</xdr:row>
          <xdr:rowOff>8468</xdr:rowOff>
        </xdr:from>
        <xdr:to>
          <xdr:col>10</xdr:col>
          <xdr:colOff>347133</xdr:colOff>
          <xdr:row>1</xdr:row>
          <xdr:rowOff>423334</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0</xdr:colOff>
      <xdr:row>0</xdr:row>
      <xdr:rowOff>15239</xdr:rowOff>
    </xdr:from>
    <xdr:to>
      <xdr:col>11</xdr:col>
      <xdr:colOff>95467</xdr:colOff>
      <xdr:row>0</xdr:row>
      <xdr:rowOff>655319</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46C8D8C0-98BA-B51D-5CC2-2EEC0D8596B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5239"/>
              <a:ext cx="1573340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lock" refreshedDate="45844.931798611113" createdVersion="8" refreshedVersion="8" minRefreshableVersion="3" recordCount="141" xr:uid="{59D7AA8A-B030-4C39-8C83-907B0123DF3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40359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B1E1D-9915-4E0B-BE78-3AB8FAFAF0D9}" name="PivotTable21"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0" baseItem="0" numFmtId="10"/>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26"/>
            <x v="70"/>
            <x v="72"/>
            <x v="74"/>
            <x v="77"/>
          </reference>
        </references>
      </pivotArea>
    </format>
    <format dxfId="19">
      <pivotArea dataOnly="0" labelOnly="1" outline="0" axis="axisValues" fieldPosition="0"/>
    </format>
    <format dxfId="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F229F-705A-468F-8871-C5A61D6F11AB}" name="PivotTable20"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3:B8" firstHeaderRow="1" firstDataRow="1" firstDataCol="1"/>
  <pivotFields count="12">
    <pivotField showAll="0" defaultSubtotal="0"/>
    <pivotField axis="axisRow" showAll="0" measureFilter="1"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defaultSubtotal="0">
      <items count="8">
        <item h="1" x="3"/>
        <item h="1" x="1"/>
        <item h="1" x="0"/>
        <item h="1" x="2"/>
        <item h="1" x="5"/>
        <item h="1" x="4"/>
        <item h="1" x="6"/>
        <item x="7"/>
      </items>
    </pivotField>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10" showAll="0" defaultSubtotal="0"/>
    <pivotField numFmtId="10" showAll="0" defaultSubtotal="0"/>
  </pivotFields>
  <rowFields count="1">
    <field x="1"/>
  </rowFields>
  <rowItems count="5">
    <i>
      <x v="3"/>
    </i>
    <i>
      <x v="15"/>
    </i>
    <i>
      <x v="31"/>
    </i>
    <i>
      <x v="59"/>
    </i>
    <i>
      <x v="79"/>
    </i>
  </rowItems>
  <colItems count="1">
    <i/>
  </colItems>
  <dataFields count="1">
    <dataField name="Total Sales " fld="8" baseField="1" baseItem="3"/>
  </dataFields>
  <formats count="7">
    <format dxfId="7">
      <pivotArea type="all" dataOnly="0" outline="0" fieldPosition="0"/>
    </format>
    <format dxfId="8">
      <pivotArea outline="0" collapsedLevelsAreSubtotals="1" fieldPosition="0"/>
    </format>
    <format dxfId="9">
      <pivotArea field="1" type="button" dataOnly="0" labelOnly="1" outline="0" axis="axisRow" fieldPosition="0"/>
    </format>
    <format dxfId="10">
      <pivotArea dataOnly="0" labelOnly="1" fieldPosition="0">
        <references count="1">
          <reference field="1" count="5">
            <x v="3"/>
            <x v="15"/>
            <x v="31"/>
            <x v="59"/>
            <x v="79"/>
          </reference>
        </references>
      </pivotArea>
    </format>
    <format dxfId="11">
      <pivotArea dataOnly="0" labelOnly="1" outline="0" axis="axisValues" fieldPosition="0"/>
    </format>
    <format dxfId="12">
      <pivotArea dataOnly="0" labelOnly="1" outline="0" axis="axisValues" fieldPosition="0"/>
    </format>
    <format dxfId="13">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28D118-31C6-4733-B950-BD0C81EB0F3E}" name="PivotTable23"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0" baseItem="0"/>
  </dataFields>
  <formats count="7">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5">
            <x v="26"/>
            <x v="70"/>
            <x v="72"/>
            <x v="74"/>
            <x v="77"/>
          </reference>
        </references>
      </pivotArea>
    </format>
    <format dxfId="24">
      <pivotArea dataOnly="0" labelOnly="1" outline="0" axis="axisValues" fieldPosition="0"/>
    </format>
    <format dxfId="18">
      <pivotArea dataOnly="0" labelOnly="1" outline="0" axis="axisValues" fieldPosition="0"/>
    </format>
    <format dxfId="17">
      <pivotArea dataOnly="0" labelOnly="1" outline="0" axis="axisValues" fieldPosition="0"/>
    </format>
  </formats>
  <pivotTableStyleInfo name="PivotStyleMedium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259FA9-E430-43F9-A8AA-05082860F2AB}" name="PivotTable22"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0" baseItem="0" numFmtId="10"/>
  </dataFields>
  <formats count="7">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5">
            <x v="3"/>
            <x v="15"/>
            <x v="31"/>
            <x v="59"/>
            <x v="79"/>
          </reference>
        </references>
      </pivotArea>
    </format>
    <format dxfId="4">
      <pivotArea dataOnly="0" labelOnly="1" outline="0" axis="axisValues" fieldPosition="0"/>
    </format>
    <format dxfId="5">
      <pivotArea dataOnly="0" labelOnly="1" outline="0" axis="axisValues" fieldPosition="0"/>
    </format>
    <format dxfId="6">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3469FA-F4EC-4CD9-A192-A69BE94A851D}"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showAll="0"/>
    <pivotField showAll="0"/>
    <pivotField showAll="0"/>
    <pivotField showAll="0"/>
    <pivotField showAll="0"/>
    <pivotField showAll="0"/>
    <pivotField showAll="0"/>
    <pivotField showAll="0"/>
    <pivotField showAll="0"/>
    <pivotField numFmtId="10" showAll="0"/>
    <pivotField numFmtId="10" showAll="0"/>
  </pivotFields>
  <rowItems count="1">
    <i/>
  </rowItems>
  <colItems count="1">
    <i/>
  </colItems>
  <dataFields count="1">
    <dataField name="Count of Sales Executive" fld="1" subtotal="count"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B82621-1A6A-4211-B3A5-5911EAB42411}"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2">
    <pivotField showAll="0"/>
    <pivotField showAll="0"/>
    <pivotField showAll="0"/>
    <pivotField showAll="0"/>
    <pivotField showAll="0"/>
    <pivotField showAll="0"/>
    <pivotField showAll="0"/>
    <pivotField showAll="0"/>
    <pivotField dataField="1" showAll="0"/>
    <pivotField showAll="0"/>
    <pivotField numFmtId="10" showAll="0"/>
    <pivotField numFmtId="10" showAll="0"/>
  </pivotFields>
  <rowItems count="1">
    <i/>
  </rowItems>
  <colItems count="1">
    <i/>
  </colItems>
  <dataFields count="1">
    <dataField name="Sum of Total Sales" fld="8" baseField="0" baseItem="0" numFmtId="167"/>
  </dataFields>
  <formats count="1">
    <format dxfId="1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07D9D33-97B8-4EE2-A75A-A310FA29216D}" sourceName="Region">
  <pivotTables>
    <pivotTable tabId="4" name="PivotTable22"/>
  </pivotTables>
  <data>
    <tabular pivotCacheId="74035967">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169EB43-5A5E-4610-A3B4-CAFE61976F7F}" cache="Slicer_Region1" caption="Region" columnCount="8" showCaption="0" style="Slicer Style 1"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1273-2D2F-4F76-80DE-AF7F3545C442}">
  <sheetPr codeName="Sheet1"/>
  <dimension ref="A1:O44"/>
  <sheetViews>
    <sheetView tabSelected="1" zoomScale="90" zoomScaleNormal="90" workbookViewId="0">
      <selection activeCell="F4" sqref="F4"/>
    </sheetView>
  </sheetViews>
  <sheetFormatPr defaultRowHeight="14.4" x14ac:dyDescent="0.3"/>
  <cols>
    <col min="1" max="1" width="24.88671875" customWidth="1"/>
    <col min="2" max="2" width="22.88671875" customWidth="1"/>
    <col min="3" max="3" width="4.109375" customWidth="1"/>
    <col min="4" max="4" width="30" customWidth="1"/>
    <col min="5" max="5" width="25.33203125" customWidth="1"/>
    <col min="6" max="6" width="5.6640625" customWidth="1"/>
    <col min="7" max="7" width="32.88671875" customWidth="1"/>
    <col min="8" max="8" width="21.33203125" customWidth="1"/>
    <col min="9" max="9" width="6.109375" customWidth="1"/>
    <col min="10" max="10" width="23.109375" customWidth="1"/>
    <col min="11" max="11" width="31.77734375" customWidth="1"/>
    <col min="12" max="12" width="2" customWidth="1"/>
    <col min="13" max="13" width="1.5546875" customWidth="1"/>
    <col min="14" max="14" width="0.88671875" customWidth="1"/>
  </cols>
  <sheetData>
    <row r="1" spans="1:15" ht="64.2" customHeight="1" x14ac:dyDescent="0.3">
      <c r="A1" s="15" t="b">
        <v>0</v>
      </c>
      <c r="B1" s="15"/>
      <c r="C1" s="15"/>
      <c r="D1" s="15" t="b">
        <v>0</v>
      </c>
      <c r="E1" s="15"/>
      <c r="F1" s="15"/>
      <c r="G1" s="15" t="b">
        <v>1</v>
      </c>
      <c r="H1" s="15"/>
      <c r="I1" s="15"/>
      <c r="J1" s="15" t="b">
        <v>0</v>
      </c>
      <c r="K1" s="15"/>
      <c r="L1" s="15"/>
      <c r="M1" s="15"/>
      <c r="N1" s="15"/>
    </row>
    <row r="2" spans="1:15" ht="42.6" customHeight="1" x14ac:dyDescent="0.3">
      <c r="A2" s="12"/>
      <c r="B2" s="12"/>
      <c r="C2" s="12"/>
      <c r="D2" s="12"/>
      <c r="E2" s="12"/>
      <c r="F2" s="12"/>
      <c r="G2" s="12"/>
      <c r="H2" s="12"/>
      <c r="I2" s="12"/>
      <c r="J2" s="12"/>
      <c r="K2" s="12"/>
      <c r="L2" s="12"/>
      <c r="M2" s="12"/>
      <c r="N2" s="12"/>
    </row>
    <row r="3" spans="1:15" ht="18" x14ac:dyDescent="0.35">
      <c r="A3" s="9" t="s">
        <v>1</v>
      </c>
      <c r="B3" s="18" t="s">
        <v>303</v>
      </c>
      <c r="C3" s="13"/>
      <c r="D3" s="9" t="s">
        <v>1</v>
      </c>
      <c r="E3" s="17" t="s">
        <v>304</v>
      </c>
      <c r="F3" s="13"/>
      <c r="G3" s="9" t="s">
        <v>1</v>
      </c>
      <c r="H3" s="17" t="s">
        <v>302</v>
      </c>
      <c r="I3" s="13"/>
      <c r="J3" s="9" t="s">
        <v>1</v>
      </c>
      <c r="K3" s="19" t="s">
        <v>305</v>
      </c>
      <c r="L3" s="12"/>
      <c r="M3" s="12"/>
      <c r="N3" s="12"/>
    </row>
    <row r="4" spans="1:15" ht="18" x14ac:dyDescent="0.35">
      <c r="A4" s="10" t="s">
        <v>295</v>
      </c>
      <c r="B4" s="16">
        <v>382</v>
      </c>
      <c r="C4" s="13"/>
      <c r="D4" s="10" t="s">
        <v>253</v>
      </c>
      <c r="E4" s="16">
        <v>166</v>
      </c>
      <c r="F4" s="13"/>
      <c r="G4" s="10" t="s">
        <v>291</v>
      </c>
      <c r="H4" s="11">
        <v>0.63200000000000001</v>
      </c>
      <c r="I4" s="13"/>
      <c r="J4" s="10" t="s">
        <v>253</v>
      </c>
      <c r="K4" s="11">
        <v>0.66799999999999993</v>
      </c>
      <c r="L4" s="14"/>
      <c r="M4" s="12"/>
      <c r="N4" s="12"/>
    </row>
    <row r="5" spans="1:15" ht="18" x14ac:dyDescent="0.35">
      <c r="A5" s="10" t="s">
        <v>19</v>
      </c>
      <c r="B5" s="16">
        <v>379</v>
      </c>
      <c r="C5" s="13"/>
      <c r="D5" s="10" t="s">
        <v>165</v>
      </c>
      <c r="E5" s="16">
        <v>143</v>
      </c>
      <c r="F5" s="13"/>
      <c r="G5" s="10" t="s">
        <v>259</v>
      </c>
      <c r="H5" s="11">
        <v>0.63200000000000001</v>
      </c>
      <c r="I5" s="13"/>
      <c r="J5" s="10" t="s">
        <v>165</v>
      </c>
      <c r="K5" s="11">
        <v>0.71399999999999997</v>
      </c>
      <c r="L5" s="14"/>
      <c r="M5" s="12"/>
      <c r="N5" s="12"/>
      <c r="O5">
        <f>Dashboard!A10</f>
        <v>0</v>
      </c>
    </row>
    <row r="6" spans="1:15" ht="18" x14ac:dyDescent="0.35">
      <c r="A6" s="10" t="s">
        <v>243</v>
      </c>
      <c r="B6" s="16">
        <v>389</v>
      </c>
      <c r="C6" s="13"/>
      <c r="D6" s="10" t="s">
        <v>161</v>
      </c>
      <c r="E6" s="16">
        <v>156</v>
      </c>
      <c r="F6" s="13"/>
      <c r="G6" s="10" t="s">
        <v>243</v>
      </c>
      <c r="H6" s="11">
        <v>0.77800000000000002</v>
      </c>
      <c r="I6" s="13"/>
      <c r="J6" s="10" t="s">
        <v>161</v>
      </c>
      <c r="K6" s="11">
        <v>0.68799999999999994</v>
      </c>
      <c r="L6" s="14"/>
      <c r="M6" s="12"/>
      <c r="N6" s="12"/>
    </row>
    <row r="7" spans="1:15" ht="18" x14ac:dyDescent="0.35">
      <c r="A7" s="10" t="s">
        <v>187</v>
      </c>
      <c r="B7" s="16">
        <v>384</v>
      </c>
      <c r="C7" s="13"/>
      <c r="D7" s="10" t="s">
        <v>157</v>
      </c>
      <c r="E7" s="16">
        <v>171</v>
      </c>
      <c r="F7" s="13"/>
      <c r="G7" s="10" t="s">
        <v>179</v>
      </c>
      <c r="H7" s="11">
        <v>0.63400000000000001</v>
      </c>
      <c r="I7" s="13"/>
      <c r="J7" s="10" t="s">
        <v>157</v>
      </c>
      <c r="K7" s="11">
        <v>0.65799999999999992</v>
      </c>
      <c r="L7" s="14"/>
      <c r="M7" s="12"/>
      <c r="N7" s="12"/>
    </row>
    <row r="8" spans="1:15" ht="18" x14ac:dyDescent="0.35">
      <c r="A8" s="10" t="s">
        <v>147</v>
      </c>
      <c r="B8" s="16">
        <v>385</v>
      </c>
      <c r="C8" s="13"/>
      <c r="D8" s="10" t="s">
        <v>151</v>
      </c>
      <c r="E8" s="16">
        <v>166</v>
      </c>
      <c r="F8" s="13"/>
      <c r="G8" s="10" t="s">
        <v>147</v>
      </c>
      <c r="H8" s="11">
        <v>0.77</v>
      </c>
      <c r="I8" s="13"/>
      <c r="J8" s="10" t="s">
        <v>151</v>
      </c>
      <c r="K8" s="11">
        <v>0.66799999999999993</v>
      </c>
      <c r="L8" s="14"/>
      <c r="M8" s="12"/>
      <c r="N8" s="12"/>
    </row>
    <row r="9" spans="1:15" x14ac:dyDescent="0.3">
      <c r="A9" s="12"/>
      <c r="B9" s="12"/>
      <c r="C9" s="12"/>
      <c r="D9" s="12"/>
      <c r="E9" s="12"/>
      <c r="F9" s="12"/>
      <c r="G9" s="12"/>
      <c r="H9" s="12"/>
      <c r="I9" s="12"/>
      <c r="J9" s="12"/>
      <c r="K9" s="12"/>
      <c r="L9" s="12"/>
      <c r="M9" s="12"/>
      <c r="N9" s="12"/>
    </row>
    <row r="10" spans="1:15" x14ac:dyDescent="0.3">
      <c r="A10" s="12"/>
      <c r="B10" s="12"/>
      <c r="C10" s="12"/>
      <c r="D10" s="12"/>
      <c r="E10" s="12"/>
      <c r="F10" s="12"/>
      <c r="G10" s="12"/>
      <c r="H10" s="12"/>
      <c r="I10" s="12"/>
      <c r="J10" s="12"/>
      <c r="K10" s="24"/>
      <c r="L10" s="12"/>
      <c r="M10" s="12"/>
      <c r="N10" s="12"/>
    </row>
    <row r="11" spans="1:15" x14ac:dyDescent="0.3">
      <c r="A11" s="12"/>
      <c r="B11" s="12"/>
      <c r="C11" s="12"/>
      <c r="D11" s="12"/>
      <c r="E11" s="12"/>
      <c r="F11" s="12"/>
      <c r="G11" s="12"/>
      <c r="H11" s="12"/>
      <c r="I11" s="12"/>
      <c r="J11" s="12"/>
      <c r="K11" s="12"/>
      <c r="L11" s="12"/>
      <c r="M11" s="12"/>
      <c r="N11" s="12"/>
    </row>
    <row r="12" spans="1:15" x14ac:dyDescent="0.3">
      <c r="A12" s="12"/>
      <c r="B12" s="12"/>
      <c r="C12" s="12"/>
      <c r="D12" s="12"/>
      <c r="E12" s="12"/>
      <c r="F12" s="12"/>
      <c r="G12" s="12"/>
      <c r="H12" s="12"/>
      <c r="I12" s="12"/>
      <c r="J12" s="12"/>
      <c r="K12" s="12"/>
      <c r="L12" s="12"/>
      <c r="M12" s="12"/>
      <c r="N12" s="12"/>
    </row>
    <row r="13" spans="1:15" x14ac:dyDescent="0.3">
      <c r="A13" s="12"/>
      <c r="B13" s="12"/>
      <c r="C13" s="12"/>
      <c r="D13" s="12"/>
      <c r="E13" s="12"/>
      <c r="F13" s="12"/>
      <c r="G13" s="12"/>
      <c r="H13" s="12"/>
      <c r="I13" s="12"/>
      <c r="J13" s="12"/>
      <c r="K13" s="12"/>
      <c r="L13" s="12"/>
      <c r="M13" s="12"/>
      <c r="N13" s="12"/>
    </row>
    <row r="14" spans="1:15" x14ac:dyDescent="0.3">
      <c r="A14" s="12"/>
      <c r="B14" s="12"/>
      <c r="C14" s="12"/>
      <c r="D14" s="12"/>
      <c r="E14" s="12"/>
      <c r="F14" s="12"/>
      <c r="G14" s="12"/>
      <c r="H14" s="12"/>
      <c r="I14" s="12"/>
      <c r="J14" s="12"/>
      <c r="K14" s="12"/>
      <c r="L14" s="12"/>
      <c r="M14" s="12"/>
      <c r="N14" s="12"/>
    </row>
    <row r="15" spans="1:15" x14ac:dyDescent="0.3">
      <c r="A15" s="12"/>
      <c r="B15" s="12"/>
      <c r="C15" s="12"/>
      <c r="D15" s="12"/>
      <c r="E15" s="12"/>
      <c r="F15" s="12"/>
      <c r="G15" s="12"/>
      <c r="H15" s="12"/>
      <c r="I15" s="12"/>
      <c r="J15" s="12"/>
      <c r="K15" s="12"/>
      <c r="L15" s="12"/>
      <c r="M15" s="12"/>
      <c r="N15" s="12"/>
    </row>
    <row r="16" spans="1:15" x14ac:dyDescent="0.3">
      <c r="A16" s="12"/>
      <c r="B16" s="12"/>
      <c r="C16" s="12"/>
      <c r="D16" s="12"/>
      <c r="E16" s="12"/>
      <c r="F16" s="12"/>
      <c r="G16" s="12"/>
      <c r="H16" s="12"/>
      <c r="I16" s="12"/>
      <c r="J16" s="12"/>
      <c r="K16" s="12"/>
      <c r="L16" s="12"/>
      <c r="M16" s="12"/>
      <c r="N16" s="12"/>
    </row>
    <row r="17" spans="1:14" x14ac:dyDescent="0.3">
      <c r="A17" s="12"/>
      <c r="B17" s="12"/>
      <c r="C17" s="12"/>
      <c r="D17" s="12"/>
      <c r="E17" s="12"/>
      <c r="F17" s="12"/>
      <c r="G17" s="12"/>
      <c r="H17" s="12"/>
      <c r="I17" s="12"/>
      <c r="J17" s="12"/>
      <c r="K17" s="12"/>
      <c r="L17" s="12"/>
      <c r="M17" s="12"/>
      <c r="N17" s="12"/>
    </row>
    <row r="18" spans="1:14" x14ac:dyDescent="0.3">
      <c r="A18" s="12"/>
      <c r="B18" s="12"/>
      <c r="C18" s="12"/>
      <c r="D18" s="12"/>
      <c r="E18" s="12"/>
      <c r="F18" s="12"/>
      <c r="G18" s="12"/>
      <c r="H18" s="12"/>
      <c r="I18" s="12"/>
      <c r="J18" s="12"/>
      <c r="K18" s="12"/>
      <c r="L18" s="12"/>
      <c r="M18" s="12"/>
      <c r="N18" s="12"/>
    </row>
    <row r="19" spans="1:14" x14ac:dyDescent="0.3">
      <c r="A19" s="12"/>
      <c r="B19" s="12"/>
      <c r="C19" s="12"/>
      <c r="D19" s="12"/>
      <c r="E19" s="12"/>
      <c r="F19" s="12"/>
      <c r="G19" s="12"/>
      <c r="H19" s="12"/>
      <c r="I19" s="12"/>
      <c r="J19" s="12"/>
      <c r="K19" s="12"/>
      <c r="L19" s="12"/>
      <c r="M19" s="12"/>
      <c r="N19" s="12"/>
    </row>
    <row r="20" spans="1:14" x14ac:dyDescent="0.3">
      <c r="A20" s="12"/>
      <c r="B20" s="12"/>
      <c r="C20" s="12"/>
      <c r="D20" s="12"/>
      <c r="E20" s="12"/>
      <c r="F20" s="12"/>
      <c r="G20" s="12"/>
      <c r="H20" s="12"/>
      <c r="I20" s="12"/>
      <c r="J20" s="12"/>
      <c r="K20" s="12"/>
      <c r="L20" s="12"/>
      <c r="M20" s="12"/>
      <c r="N20" s="12"/>
    </row>
    <row r="21" spans="1:14" x14ac:dyDescent="0.3">
      <c r="A21" s="12"/>
      <c r="B21" s="12"/>
      <c r="C21" s="12"/>
      <c r="D21" s="12"/>
      <c r="E21" s="12"/>
      <c r="F21" s="12"/>
      <c r="G21" s="12"/>
      <c r="H21" s="12"/>
      <c r="I21" s="12"/>
      <c r="J21" s="12"/>
      <c r="K21" s="12"/>
      <c r="L21" s="12"/>
      <c r="M21" s="12"/>
      <c r="N21" s="12"/>
    </row>
    <row r="22" spans="1:14" x14ac:dyDescent="0.3">
      <c r="A22" s="12"/>
      <c r="B22" s="12"/>
      <c r="C22" s="12"/>
      <c r="D22" s="12"/>
      <c r="E22" s="12"/>
      <c r="F22" s="12"/>
      <c r="G22" s="12"/>
      <c r="H22" s="12"/>
      <c r="I22" s="12"/>
      <c r="J22" s="12"/>
      <c r="K22" s="12"/>
      <c r="L22" s="12"/>
      <c r="M22" s="12"/>
      <c r="N22" s="12"/>
    </row>
    <row r="23" spans="1:14" x14ac:dyDescent="0.3">
      <c r="A23" s="12"/>
      <c r="B23" s="12"/>
      <c r="C23" s="12"/>
      <c r="D23" s="12"/>
      <c r="E23" s="12"/>
      <c r="F23" s="12"/>
      <c r="G23" s="12"/>
      <c r="H23" s="12"/>
      <c r="I23" s="12"/>
      <c r="J23" s="12"/>
      <c r="K23" s="12"/>
      <c r="L23" s="12"/>
      <c r="M23" s="12"/>
      <c r="N23" s="12"/>
    </row>
    <row r="24" spans="1:14" x14ac:dyDescent="0.3">
      <c r="A24" s="12"/>
      <c r="B24" s="12"/>
      <c r="C24" s="12"/>
      <c r="D24" s="12"/>
      <c r="E24" s="12"/>
      <c r="F24" s="12"/>
      <c r="G24" s="12"/>
      <c r="H24" s="12"/>
      <c r="I24" s="12"/>
      <c r="J24" s="12"/>
      <c r="K24" s="12"/>
      <c r="L24" s="12"/>
      <c r="M24" s="12"/>
      <c r="N24" s="12"/>
    </row>
    <row r="25" spans="1:14" x14ac:dyDescent="0.3">
      <c r="A25" s="12"/>
      <c r="B25" s="12"/>
      <c r="C25" s="12"/>
      <c r="D25" s="12"/>
      <c r="E25" s="12"/>
      <c r="F25" s="12"/>
      <c r="G25" s="12"/>
      <c r="H25" s="12"/>
      <c r="I25" s="12"/>
      <c r="J25" s="12"/>
      <c r="K25" s="12"/>
      <c r="L25" s="12"/>
      <c r="M25" s="12"/>
      <c r="N25" s="12"/>
    </row>
    <row r="26" spans="1:14" x14ac:dyDescent="0.3">
      <c r="A26" s="12"/>
      <c r="B26" s="12"/>
      <c r="C26" s="12"/>
      <c r="D26" s="12"/>
      <c r="E26" s="12"/>
      <c r="F26" s="12"/>
      <c r="G26" s="12"/>
      <c r="H26" s="12"/>
      <c r="I26" s="12"/>
      <c r="J26" s="12"/>
      <c r="K26" s="12"/>
      <c r="L26" s="12"/>
      <c r="M26" s="12"/>
      <c r="N26" s="12"/>
    </row>
    <row r="27" spans="1:14" x14ac:dyDescent="0.3">
      <c r="A27" s="12"/>
      <c r="B27" s="12"/>
      <c r="C27" s="12"/>
      <c r="D27" s="12"/>
      <c r="E27" s="12"/>
      <c r="F27" s="12"/>
      <c r="G27" s="12"/>
      <c r="H27" s="12"/>
      <c r="I27" s="12"/>
      <c r="J27" s="12"/>
      <c r="K27" s="12"/>
      <c r="L27" s="12"/>
      <c r="M27" s="12"/>
      <c r="N27" s="12"/>
    </row>
    <row r="28" spans="1:14" x14ac:dyDescent="0.3">
      <c r="A28" s="12"/>
      <c r="B28" s="12"/>
      <c r="C28" s="12"/>
      <c r="D28" s="12"/>
      <c r="E28" s="12"/>
      <c r="F28" s="12"/>
      <c r="G28" s="12"/>
      <c r="H28" s="12"/>
      <c r="I28" s="12"/>
      <c r="J28" s="12"/>
      <c r="K28" s="12"/>
      <c r="L28" s="12"/>
      <c r="M28" s="12"/>
      <c r="N28" s="12"/>
    </row>
    <row r="29" spans="1:14" x14ac:dyDescent="0.3">
      <c r="A29" s="12"/>
      <c r="B29" s="12"/>
      <c r="C29" s="12"/>
      <c r="D29" s="12"/>
      <c r="E29" s="12"/>
      <c r="F29" s="12"/>
      <c r="G29" s="12"/>
      <c r="H29" s="12"/>
      <c r="I29" s="12"/>
      <c r="J29" s="12"/>
      <c r="K29" s="12"/>
      <c r="L29" s="12"/>
      <c r="M29" s="12"/>
      <c r="N29" s="12"/>
    </row>
    <row r="30" spans="1:14" x14ac:dyDescent="0.3">
      <c r="A30" s="12"/>
      <c r="B30" s="12"/>
      <c r="C30" s="12"/>
      <c r="D30" s="12"/>
      <c r="E30" s="12"/>
      <c r="F30" s="12"/>
      <c r="G30" s="12"/>
      <c r="H30" s="12"/>
      <c r="I30" s="12"/>
      <c r="J30" s="12"/>
      <c r="K30" s="12"/>
      <c r="L30" s="12"/>
      <c r="M30" s="12"/>
      <c r="N30" s="12"/>
    </row>
    <row r="31" spans="1:14" x14ac:dyDescent="0.3">
      <c r="A31" s="12"/>
      <c r="B31" s="12"/>
      <c r="C31" s="12"/>
      <c r="D31" s="12"/>
      <c r="E31" s="12"/>
      <c r="F31" s="12"/>
      <c r="G31" s="12"/>
      <c r="H31" s="12"/>
      <c r="I31" s="12"/>
      <c r="J31" s="12"/>
      <c r="K31" s="12"/>
      <c r="L31" s="12"/>
      <c r="M31" s="12"/>
      <c r="N31" s="12"/>
    </row>
    <row r="32" spans="1:14" x14ac:dyDescent="0.3">
      <c r="A32" s="12"/>
      <c r="B32" s="12"/>
      <c r="C32" s="12"/>
      <c r="D32" s="12"/>
      <c r="E32" s="12"/>
      <c r="F32" s="12"/>
      <c r="G32" s="12"/>
      <c r="H32" s="12"/>
      <c r="I32" s="12"/>
      <c r="J32" s="12"/>
      <c r="K32" s="12"/>
      <c r="L32" s="12"/>
      <c r="M32" s="12"/>
      <c r="N32" s="12"/>
    </row>
    <row r="33" spans="1:14" x14ac:dyDescent="0.3">
      <c r="A33" s="12"/>
      <c r="B33" s="12"/>
      <c r="C33" s="12"/>
      <c r="D33" s="12"/>
      <c r="E33" s="12"/>
      <c r="F33" s="12"/>
      <c r="G33" s="12"/>
      <c r="H33" s="12"/>
      <c r="I33" s="12"/>
      <c r="J33" s="12"/>
      <c r="K33" s="12"/>
      <c r="L33" s="12"/>
      <c r="M33" s="12"/>
      <c r="N33" s="12"/>
    </row>
    <row r="34" spans="1:14" x14ac:dyDescent="0.3">
      <c r="A34" s="12"/>
      <c r="B34" s="12"/>
      <c r="C34" s="12"/>
      <c r="D34" s="12"/>
      <c r="E34" s="12"/>
      <c r="F34" s="12"/>
      <c r="G34" s="12"/>
      <c r="H34" s="12"/>
      <c r="I34" s="12"/>
      <c r="J34" s="12"/>
      <c r="K34" s="12"/>
      <c r="L34" s="12"/>
      <c r="M34" s="12"/>
      <c r="N34" s="12"/>
    </row>
    <row r="35" spans="1:14" x14ac:dyDescent="0.3">
      <c r="A35" s="12"/>
      <c r="B35" s="12"/>
      <c r="C35" s="12"/>
      <c r="D35" s="12"/>
      <c r="E35" s="12"/>
      <c r="F35" s="12"/>
      <c r="G35" s="12"/>
      <c r="H35" s="12"/>
      <c r="I35" s="12"/>
      <c r="J35" s="12"/>
      <c r="K35" s="12"/>
      <c r="L35" s="12"/>
      <c r="M35" s="12"/>
      <c r="N35" s="12"/>
    </row>
    <row r="36" spans="1:14" x14ac:dyDescent="0.3">
      <c r="A36" s="12"/>
      <c r="B36" s="12"/>
      <c r="C36" s="12"/>
      <c r="D36" s="12"/>
      <c r="E36" s="12"/>
      <c r="F36" s="12"/>
      <c r="G36" s="12"/>
      <c r="H36" s="12"/>
      <c r="I36" s="12"/>
      <c r="J36" s="12"/>
      <c r="K36" s="12"/>
      <c r="L36" s="12"/>
      <c r="M36" s="12"/>
      <c r="N36" s="12"/>
    </row>
    <row r="37" spans="1:14" x14ac:dyDescent="0.3">
      <c r="A37" s="12"/>
      <c r="B37" s="12"/>
      <c r="C37" s="12"/>
      <c r="D37" s="12"/>
      <c r="E37" s="12"/>
      <c r="F37" s="12"/>
      <c r="G37" s="12"/>
      <c r="H37" s="12"/>
      <c r="I37" s="12"/>
      <c r="J37" s="12"/>
      <c r="K37" s="12"/>
      <c r="L37" s="12"/>
      <c r="M37" s="12"/>
      <c r="N37" s="12"/>
    </row>
    <row r="38" spans="1:14" x14ac:dyDescent="0.3">
      <c r="A38" s="12"/>
      <c r="B38" s="12"/>
      <c r="C38" s="12"/>
      <c r="D38" s="12"/>
      <c r="E38" s="12"/>
      <c r="F38" s="12"/>
      <c r="G38" s="12"/>
      <c r="H38" s="12"/>
      <c r="I38" s="12"/>
      <c r="J38" s="12"/>
      <c r="K38" s="12"/>
      <c r="L38" s="12"/>
      <c r="M38" s="12"/>
      <c r="N38" s="12"/>
    </row>
    <row r="39" spans="1:14" x14ac:dyDescent="0.3">
      <c r="A39" s="12"/>
      <c r="B39" s="12"/>
      <c r="C39" s="12"/>
      <c r="D39" s="12"/>
      <c r="E39" s="12"/>
      <c r="F39" s="12"/>
      <c r="G39" s="12"/>
      <c r="H39" s="12"/>
      <c r="I39" s="12"/>
      <c r="J39" s="12"/>
      <c r="K39" s="12"/>
      <c r="L39" s="12"/>
      <c r="M39" s="12"/>
      <c r="N39" s="12"/>
    </row>
    <row r="40" spans="1:14" x14ac:dyDescent="0.3">
      <c r="A40" s="12"/>
      <c r="B40" s="12"/>
      <c r="C40" s="12"/>
      <c r="D40" s="12"/>
      <c r="E40" s="12"/>
      <c r="F40" s="12"/>
      <c r="G40" s="12"/>
      <c r="H40" s="12"/>
      <c r="I40" s="12"/>
      <c r="J40" s="12"/>
      <c r="K40" s="12"/>
      <c r="L40" s="12"/>
      <c r="M40" s="12"/>
      <c r="N40" s="12"/>
    </row>
    <row r="41" spans="1:14" x14ac:dyDescent="0.3">
      <c r="A41" s="12"/>
      <c r="B41" s="12"/>
      <c r="C41" s="12"/>
      <c r="D41" s="12"/>
      <c r="E41" s="12"/>
      <c r="F41" s="12"/>
      <c r="G41" s="12"/>
      <c r="H41" s="12"/>
      <c r="I41" s="12"/>
      <c r="J41" s="12"/>
      <c r="K41" s="12"/>
      <c r="L41" s="12"/>
      <c r="M41" s="12"/>
      <c r="N41" s="12"/>
    </row>
    <row r="42" spans="1:14" x14ac:dyDescent="0.3">
      <c r="A42" s="12"/>
      <c r="B42" s="12"/>
      <c r="C42" s="12"/>
      <c r="D42" s="12"/>
      <c r="E42" s="12"/>
      <c r="F42" s="12"/>
      <c r="G42" s="12"/>
      <c r="H42" s="12"/>
      <c r="I42" s="12"/>
      <c r="J42" s="12"/>
      <c r="K42" s="12"/>
      <c r="L42" s="12"/>
      <c r="M42" s="12"/>
      <c r="N42" s="12"/>
    </row>
    <row r="43" spans="1:14" x14ac:dyDescent="0.3">
      <c r="A43" s="12"/>
      <c r="B43" s="12"/>
      <c r="C43" s="12"/>
      <c r="D43" s="12"/>
      <c r="E43" s="12"/>
      <c r="F43" s="12"/>
      <c r="G43" s="12"/>
      <c r="H43" s="12"/>
      <c r="I43" s="12"/>
      <c r="J43" s="12"/>
      <c r="K43" s="12"/>
      <c r="L43" s="12"/>
      <c r="M43" s="12"/>
      <c r="N43" s="12"/>
    </row>
    <row r="44" spans="1:14" x14ac:dyDescent="0.3">
      <c r="A44" s="12"/>
      <c r="B44" s="12"/>
      <c r="C44" s="12"/>
      <c r="D44" s="12"/>
      <c r="E44" s="12"/>
      <c r="F44" s="12"/>
      <c r="G44" s="12"/>
      <c r="H44" s="12"/>
      <c r="I44" s="12"/>
      <c r="J44" s="12"/>
      <c r="K44" s="12"/>
      <c r="L44" s="12"/>
      <c r="M44" s="12"/>
      <c r="N4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1" r:id="rId7" name="Check Box 7">
              <controlPr defaultSize="0" autoFill="0" autoLine="0" autoPict="0" macro="[0]!Slicerconnection">
                <anchor moveWithCells="1">
                  <from>
                    <xdr:col>0</xdr:col>
                    <xdr:colOff>472440</xdr:colOff>
                    <xdr:row>0</xdr:row>
                    <xdr:rowOff>784860</xdr:rowOff>
                  </from>
                  <to>
                    <xdr:col>1</xdr:col>
                    <xdr:colOff>228600</xdr:colOff>
                    <xdr:row>1</xdr:row>
                    <xdr:rowOff>381000</xdr:rowOff>
                  </to>
                </anchor>
              </controlPr>
            </control>
          </mc:Choice>
        </mc:AlternateContent>
        <mc:AlternateContent xmlns:mc="http://schemas.openxmlformats.org/markup-compatibility/2006">
          <mc:Choice Requires="x14">
            <control shapeId="1033" r:id="rId8" name="Check Box 9">
              <controlPr defaultSize="0" autoFill="0" autoLine="0" autoPict="0" macro="[0]!Slicerconnection">
                <anchor moveWithCells="1">
                  <from>
                    <xdr:col>3</xdr:col>
                    <xdr:colOff>327660</xdr:colOff>
                    <xdr:row>0</xdr:row>
                    <xdr:rowOff>777240</xdr:rowOff>
                  </from>
                  <to>
                    <xdr:col>3</xdr:col>
                    <xdr:colOff>1836420</xdr:colOff>
                    <xdr:row>1</xdr:row>
                    <xdr:rowOff>388620</xdr:rowOff>
                  </to>
                </anchor>
              </controlPr>
            </control>
          </mc:Choice>
        </mc:AlternateContent>
        <mc:AlternateContent xmlns:mc="http://schemas.openxmlformats.org/markup-compatibility/2006">
          <mc:Choice Requires="x14">
            <control shapeId="1034" r:id="rId9" name="Check Box 10">
              <controlPr defaultSize="0" autoFill="0" autoLine="0" autoPict="0" macro="[0]!Slicerconnection">
                <anchor moveWithCells="1">
                  <from>
                    <xdr:col>6</xdr:col>
                    <xdr:colOff>708660</xdr:colOff>
                    <xdr:row>0</xdr:row>
                    <xdr:rowOff>784860</xdr:rowOff>
                  </from>
                  <to>
                    <xdr:col>7</xdr:col>
                    <xdr:colOff>60960</xdr:colOff>
                    <xdr:row>1</xdr:row>
                    <xdr:rowOff>342900</xdr:rowOff>
                  </to>
                </anchor>
              </controlPr>
            </control>
          </mc:Choice>
        </mc:AlternateContent>
        <mc:AlternateContent xmlns:mc="http://schemas.openxmlformats.org/markup-compatibility/2006">
          <mc:Choice Requires="x14">
            <control shapeId="1035" r:id="rId10" name="Check Box 11">
              <controlPr defaultSize="0" autoFill="0" autoLine="0" autoPict="0" macro="[0]!Slicerconnection">
                <anchor moveWithCells="1">
                  <from>
                    <xdr:col>9</xdr:col>
                    <xdr:colOff>800100</xdr:colOff>
                    <xdr:row>1</xdr:row>
                    <xdr:rowOff>7620</xdr:rowOff>
                  </from>
                  <to>
                    <xdr:col>10</xdr:col>
                    <xdr:colOff>350520</xdr:colOff>
                    <xdr:row>1</xdr:row>
                    <xdr:rowOff>426720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56B3B-3789-43FB-9F19-83503E683761}">
  <sheetPr codeName="Sheet3"/>
  <dimension ref="A3:D14"/>
  <sheetViews>
    <sheetView workbookViewId="0">
      <selection activeCell="A14" sqref="A14"/>
    </sheetView>
  </sheetViews>
  <sheetFormatPr defaultRowHeight="14.4" x14ac:dyDescent="0.3"/>
  <cols>
    <col min="1" max="2" width="21.77734375" bestFit="1" customWidth="1"/>
    <col min="3" max="3" width="17.5546875" bestFit="1" customWidth="1"/>
    <col min="4" max="4" width="10" bestFit="1" customWidth="1"/>
  </cols>
  <sheetData>
    <row r="3" spans="1:4" x14ac:dyDescent="0.3">
      <c r="A3" t="s">
        <v>306</v>
      </c>
    </row>
    <row r="4" spans="1:4" x14ac:dyDescent="0.3">
      <c r="A4" s="21">
        <v>38945</v>
      </c>
    </row>
    <row r="6" spans="1:4" x14ac:dyDescent="0.3">
      <c r="A6" s="20">
        <f>GETPIVOTDATA("Sum of Total Sales",$A$3)</f>
        <v>38945</v>
      </c>
      <c r="C6" s="22">
        <f>A6</f>
        <v>38945</v>
      </c>
      <c r="D6" s="23">
        <f>A6</f>
        <v>38945</v>
      </c>
    </row>
    <row r="7" spans="1:4" x14ac:dyDescent="0.3">
      <c r="C7" s="12">
        <f>GETPIVOTDATA("Total Sales",$A$3)</f>
        <v>38945</v>
      </c>
      <c r="D7" s="12"/>
    </row>
    <row r="9" spans="1:4" x14ac:dyDescent="0.3">
      <c r="A9" t="s">
        <v>307</v>
      </c>
    </row>
    <row r="10" spans="1:4" x14ac:dyDescent="0.3">
      <c r="A10" s="25">
        <v>141</v>
      </c>
    </row>
    <row r="14" spans="1:4" x14ac:dyDescent="0.3">
      <c r="A14" s="25">
        <v>141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97620-BAEE-4F09-BF88-8DEB5693A9C6}">
  <sheetPr codeName="Sheet4"/>
  <dimension ref="E13"/>
  <sheetViews>
    <sheetView workbookViewId="0">
      <selection activeCell="E14" sqref="E14"/>
    </sheetView>
  </sheetViews>
  <sheetFormatPr defaultRowHeight="14.4" x14ac:dyDescent="0.3"/>
  <sheetData>
    <row r="13" spans="5:5" x14ac:dyDescent="0.3">
      <c r="E13" s="25">
        <f>Sheet1!A14</f>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2C268-F75E-4DE5-BB47-7631C0A7EAB3}">
  <sheetPr codeName="Sheet2"/>
  <dimension ref="A1:L142"/>
  <sheetViews>
    <sheetView topLeftCell="A116" workbookViewId="0">
      <selection sqref="A1:A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Sheet1</vt: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Surbhi Gupta</dc:creator>
  <cp:lastModifiedBy>Surbhi Gupta</cp:lastModifiedBy>
  <dcterms:created xsi:type="dcterms:W3CDTF">2025-06-27T19:44:57Z</dcterms:created>
  <dcterms:modified xsi:type="dcterms:W3CDTF">2025-07-09T11:47:59Z</dcterms:modified>
</cp:coreProperties>
</file>